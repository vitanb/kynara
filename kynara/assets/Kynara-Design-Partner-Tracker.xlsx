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Pipeline" sheetId="2" state="visible" r:id="rId4"/>
    <sheet name="Lists" sheetId="3" state="hidden" r:id="rId5"/>
  </sheets>
  <definedNames>
    <definedName function="false" hidden="true" localSheetId="1" name="_xlnm._FilterDatabase" vbProcedure="false">Pipeline!$A$3:$L$46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<sst xmlns="http://schemas.openxmlformats.org/spreadsheetml/2006/main" count="227" uniqueCount="109">
  <si>
    <t xml:space="preserve">Pipeline Dashboard</t>
  </si>
  <si>
    <t xml:space="preserve">Funnel counts auto-update from the Pipeline tab.</t>
  </si>
  <si>
    <t xml:space="preserve">Stage</t>
  </si>
  <si>
    <t xml:space="preserve">Count</t>
  </si>
  <si>
    <t xml:space="preserve">Notes</t>
  </si>
  <si>
    <t xml:space="preserve">Identified</t>
  </si>
  <si>
    <t xml:space="preserve">Contacted</t>
  </si>
  <si>
    <t xml:space="preserve">Replied</t>
  </si>
  <si>
    <t xml:space="preserve">Call booked</t>
  </si>
  <si>
    <t xml:space="preserve">~1 in 4 → partner</t>
  </si>
  <si>
    <t xml:space="preserve">In program</t>
  </si>
  <si>
    <t xml:space="preserve">target 8–10</t>
  </si>
  <si>
    <t xml:space="preserve">Won</t>
  </si>
  <si>
    <t xml:space="preserve">← the only metric that matters</t>
  </si>
  <si>
    <t xml:space="preserve">Passed</t>
  </si>
  <si>
    <t xml:space="preserve">Total tracked</t>
  </si>
  <si>
    <t xml:space="preserve">Kynara — Design-Partner Pipeline</t>
  </si>
  <si>
    <t xml:space="preserve">Target ~40 qualified names → ~8–10 partners. Qualify: real actions + near-prod + a named owner + felt pain.</t>
  </si>
  <si>
    <t xml:space="preserve">Company</t>
  </si>
  <si>
    <t xml:space="preserve">Segment</t>
  </si>
  <si>
    <t xml:space="preserve">Agent use case</t>
  </si>
  <si>
    <t xml:space="preserve">Takes actions?</t>
  </si>
  <si>
    <t xml:space="preserve">Owner / contact</t>
  </si>
  <si>
    <t xml:space="preserve">Source</t>
  </si>
  <si>
    <t xml:space="preserve">Status</t>
  </si>
  <si>
    <t xml:space="preserve">Next step</t>
  </si>
  <si>
    <t xml:space="preserve">Last touch</t>
  </si>
  <si>
    <t xml:space="preserve">Priority</t>
  </si>
  <si>
    <t xml:space="preserve">7AI</t>
  </si>
  <si>
    <t xml:space="preserve">SecOps / agentic SOC</t>
  </si>
  <si>
    <t xml:space="preserve">Agentic security platform; agents investigate + execute response</t>
  </si>
  <si>
    <t xml:space="preserve">Yes</t>
  </si>
  <si>
    <t xml:space="preserve">Prod</t>
  </si>
  <si>
    <t xml:space="preserve">Ecosystem</t>
  </si>
  <si>
    <t xml:space="preserve">Research owner, find warm intro</t>
  </si>
  <si>
    <t xml:space="preserve">High</t>
  </si>
  <si>
    <t xml:space="preserve">Fortune 2026 Cyber 60. Verify action scope.</t>
  </si>
  <si>
    <t xml:space="preserve">Conifers.ai</t>
  </si>
  <si>
    <t xml:space="preserve">CognitiveSOC; autonomous SOC actions</t>
  </si>
  <si>
    <t xml:space="preserve">Map LinkedIn contacts</t>
  </si>
  <si>
    <t xml:space="preserve">$25M raised.</t>
  </si>
  <si>
    <t xml:space="preserve">Stellar Cyber</t>
  </si>
  <si>
    <t xml:space="preserve">Agentic SOC for lean teams</t>
  </si>
  <si>
    <t xml:space="preserve">LinkedIn</t>
  </si>
  <si>
    <t xml:space="preserve">Find platform/eng lead</t>
  </si>
  <si>
    <t xml:space="preserve">Med</t>
  </si>
  <si>
    <t xml:space="preserve">Mid-market focus.</t>
  </si>
  <si>
    <t xml:space="preserve">Dropzone AI</t>
  </si>
  <si>
    <t xml:space="preserve">Autonomous SOC analyst</t>
  </si>
  <si>
    <t xml:space="preserve">Partial</t>
  </si>
  <si>
    <t xml:space="preserve">Near-prod</t>
  </si>
  <si>
    <t xml:space="preserve">Confirm agents take actions</t>
  </si>
  <si>
    <t xml:space="preserve">Verify current scope.</t>
  </si>
  <si>
    <t xml:space="preserve">Prophet Security</t>
  </si>
  <si>
    <t xml:space="preserve">Confirm scope</t>
  </si>
  <si>
    <t xml:space="preserve">Qevlar AI</t>
  </si>
  <si>
    <t xml:space="preserve">Autonomous SOC investigation</t>
  </si>
  <si>
    <t xml:space="preserve">Low</t>
  </si>
  <si>
    <t xml:space="preserve">Radiant Security</t>
  </si>
  <si>
    <t xml:space="preserve">SOC automation / response</t>
  </si>
  <si>
    <t xml:space="preserve">Torq</t>
  </si>
  <si>
    <t xml:space="preserve">SecOps automation</t>
  </si>
  <si>
    <t xml:space="preserve">Hyperautomation + agentic execution</t>
  </si>
  <si>
    <t xml:space="preserve">Find AI/platform lead</t>
  </si>
  <si>
    <t xml:space="preserve">Tines</t>
  </si>
  <si>
    <t xml:space="preserve">Security automation + AI workflows</t>
  </si>
  <si>
    <t xml:space="preserve">Find AI lead</t>
  </si>
  <si>
    <t xml:space="preserve">Resolve.ai</t>
  </si>
  <si>
    <t xml:space="preserve">DevOps / AI SRE</t>
  </si>
  <si>
    <t xml:space="preserve">AI SRE: root-cause + remediation</t>
  </si>
  <si>
    <t xml:space="preserve">Warm intro</t>
  </si>
  <si>
    <t xml:space="preserve">Check investor overlap</t>
  </si>
  <si>
    <t xml:space="preserve">Strong fit — agents act on infra.</t>
  </si>
  <si>
    <t xml:space="preserve">Cleric</t>
  </si>
  <si>
    <t xml:space="preserve">AI SRE investigates + acts</t>
  </si>
  <si>
    <t xml:space="preserve">Find warm intro</t>
  </si>
  <si>
    <t xml:space="preserve">Traversal</t>
  </si>
  <si>
    <t xml:space="preserve">AI root-cause for incidents</t>
  </si>
  <si>
    <t xml:space="preserve">Confirm remediation scope</t>
  </si>
  <si>
    <t xml:space="preserve">Parity</t>
  </si>
  <si>
    <t xml:space="preserve">On-call AI agent</t>
  </si>
  <si>
    <t xml:space="preserve">incident.io</t>
  </si>
  <si>
    <t xml:space="preserve">DevOps / incident response</t>
  </si>
  <si>
    <t xml:space="preserve">Incident platform + AI agents</t>
  </si>
  <si>
    <t xml:space="preserve">Find AI product lead</t>
  </si>
  <si>
    <t xml:space="preserve">Layering AI in.</t>
  </si>
  <si>
    <t xml:space="preserve">Rootly</t>
  </si>
  <si>
    <t xml:space="preserve">Incident mgmt + AI agents</t>
  </si>
  <si>
    <t xml:space="preserve">&lt;Fintech target&gt;</t>
  </si>
  <si>
    <t xml:space="preserve">Fintech / financial services</t>
  </si>
  <si>
    <t xml:space="preserve">e.g. reconciliation / fraud-triage agents</t>
  </si>
  <si>
    <t xml:space="preserve">Identify Series B–D fintech w/ AI platform team</t>
  </si>
  <si>
    <t xml:space="preserve">Target platform/security eng, not LOB.</t>
  </si>
  <si>
    <t xml:space="preserve">&lt;Health-tech target&gt;</t>
  </si>
  <si>
    <t xml:space="preserve">Healthcare / health-tech</t>
  </si>
  <si>
    <t xml:space="preserve">e.g. triage / clinical-doc agents</t>
  </si>
  <si>
    <t xml:space="preserve">Identify health-tech w/ agents in prod</t>
  </si>
  <si>
    <t xml:space="preserve">HIPAA + audit pull strong.</t>
  </si>
  <si>
    <t xml:space="preserve">&lt;Insurance target&gt;</t>
  </si>
  <si>
    <t xml:space="preserve">Insurance</t>
  </si>
  <si>
    <t xml:space="preserve">e.g. claims / underwriting agents</t>
  </si>
  <si>
    <t xml:space="preserve">Identify claims-automation team</t>
  </si>
  <si>
    <t xml:space="preserve">No</t>
  </si>
  <si>
    <t xml:space="preserve">Pilot</t>
  </si>
  <si>
    <t xml:space="preserve">Unknown</t>
  </si>
  <si>
    <t xml:space="preserve">Demo</t>
  </si>
  <si>
    <t xml:space="preserve">Inbound</t>
  </si>
  <si>
    <t xml:space="preserve">Event</t>
  </si>
  <si>
    <t xml:space="preserve">Other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</si>
</sst>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9"/>
      <color rgb="FF64748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1F2937"/>
      <name val="Arial"/>
      <family val="0"/>
      <charset val="1"/>
    </font>
    <font>
      <b val="true"/>
      <sz val="10"/>
      <color rgb="FF1F2937"/>
      <name val="Arial"/>
      <family val="0"/>
      <charset val="1"/>
    </font>
    <font>
      <b val="true"/>
      <sz val="11"/>
      <color rgb="FF1F2937"/>
      <name val="Arial"/>
      <family val="0"/>
      <charset val="1"/>
    </font>
    <font>
      <b val="true"/>
      <sz val="11"/>
      <color rgb="FF1D4ED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.5"/>
      <color rgb="FF1F2937"/>
      <name val="Arial"/>
      <family val="0"/>
      <charset val="1"/>
    </font>
    <font>
      <b val="true"/>
      <sz val="10"/>
      <color rgb="FF1D4ED8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B0E14"/>
        <bgColor rgb="FF000000"/>
      </patternFill>
    </fill>
    <fill>
      <patternFill patternType="solid">
        <fgColor rgb="FF1D4ED8"/>
        <bgColor rgb="FF3366FF"/>
      </patternFill>
    </fill>
    <fill>
      <patternFill patternType="solid">
        <fgColor rgb="FFFAFBFE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EE8"/>
      </left>
      <right style="thin">
        <color rgb="FFD9DEE8"/>
      </right>
      <top style="thin">
        <color rgb="FFD9DEE8"/>
      </top>
      <bottom style="thin">
        <color rgb="FFD9DE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D4ED8"/>
          <bgColor rgb="FF000000"/>
        </patternFill>
      </fill>
    </dxf>
    <dxf>
      <fill>
        <patternFill patternType="solid">
          <fgColor rgb="FFFAFBF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293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DCFCE7"/>
        </patternFill>
      </fill>
    </dxf>
    <dxf>
      <fill>
        <patternFill>
          <bgColor rgb="FFDBEAFE"/>
        </patternFill>
      </fill>
    </dxf>
    <dxf>
      <fill>
        <patternFill>
          <bgColor rgb="FFFEF3C7"/>
        </patternFill>
      </fill>
    </dxf>
    <dxf>
      <fill>
        <patternFill>
          <bgColor rgb="FFFEE2E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CFCE7"/>
      <rgbColor rgb="FF660066"/>
      <rgbColor rgb="FFFF8080"/>
      <rgbColor rgb="FF1D4ED8"/>
      <rgbColor rgb="FFD9DE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FAFBFE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339966"/>
      <rgbColor rgb="FF0B0E14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34"/>
  </cols>
  <sheetData>
    <row r="1" customFormat="false" ht="30" hidden="false" customHeight="tru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 t="s">
        <v>1</v>
      </c>
      <c r="B2" s="2"/>
      <c r="C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n">
        <f aca="false">COUNTIF(Pipeline!$H:$H,A5)</f>
        <v>18</v>
      </c>
      <c r="C5" s="6"/>
    </row>
    <row r="6" customFormat="false" ht="15" hidden="false" customHeight="false" outlineLevel="0" collapsed="false">
      <c r="A6" s="4" t="s">
        <v>6</v>
      </c>
      <c r="B6" s="5" t="n">
        <f aca="false">COUNTIF(Pipeline!$H:$H,A6)</f>
        <v>0</v>
      </c>
      <c r="C6" s="6"/>
    </row>
    <row r="7" customFormat="false" ht="15" hidden="false" customHeight="false" outlineLevel="0" collapsed="false">
      <c r="A7" s="4" t="s">
        <v>7</v>
      </c>
      <c r="B7" s="5" t="n">
        <f aca="false">COUNTIF(Pipeline!$H:$H,A7)</f>
        <v>0</v>
      </c>
      <c r="C7" s="6"/>
    </row>
    <row r="8" customFormat="false" ht="15" hidden="false" customHeight="false" outlineLevel="0" collapsed="false">
      <c r="A8" s="4" t="s">
        <v>8</v>
      </c>
      <c r="B8" s="5" t="n">
        <f aca="false">COUNTIF(Pipeline!$H:$H,A8)</f>
        <v>0</v>
      </c>
      <c r="C8" s="6" t="s">
        <v>9</v>
      </c>
    </row>
    <row r="9" customFormat="false" ht="15" hidden="false" customHeight="false" outlineLevel="0" collapsed="false">
      <c r="A9" s="4" t="s">
        <v>10</v>
      </c>
      <c r="B9" s="5" t="n">
        <f aca="false">COUNTIF(Pipeline!$H:$H,A9)</f>
        <v>0</v>
      </c>
      <c r="C9" s="6" t="s">
        <v>11</v>
      </c>
    </row>
    <row r="10" customFormat="false" ht="15" hidden="false" customHeight="false" outlineLevel="0" collapsed="false">
      <c r="A10" s="4" t="s">
        <v>12</v>
      </c>
      <c r="B10" s="5" t="n">
        <f aca="false">COUNTIF(Pipeline!$H:$H,A10)</f>
        <v>0</v>
      </c>
      <c r="C10" s="6" t="s">
        <v>13</v>
      </c>
    </row>
    <row r="11" customFormat="false" ht="15" hidden="false" customHeight="false" outlineLevel="0" collapsed="false">
      <c r="A11" s="4" t="s">
        <v>14</v>
      </c>
      <c r="B11" s="5" t="n">
        <f aca="false">COUNTIF(Pipeline!$H:$H,A11)</f>
        <v>0</v>
      </c>
      <c r="C11" s="6"/>
    </row>
    <row r="12" customFormat="false" ht="15" hidden="false" customHeight="false" outlineLevel="0" collapsed="false">
      <c r="A12" s="7" t="s">
        <v>15</v>
      </c>
      <c r="B12" s="8" t="n">
        <f aca="false">COUNTA(Pipeline!$A$4:$A$1000)</f>
        <v>18</v>
      </c>
      <c r="C12" s="9"/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4"/>
    <col collapsed="false" customWidth="true" hidden="false" outlineLevel="0" max="3" min="3" style="0" width="40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20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9" min="9" style="0" width="26"/>
    <col collapsed="false" customWidth="true" hidden="false" outlineLevel="0" max="10" min="10" style="0" width="13"/>
    <col collapsed="false" customWidth="true" hidden="false" outlineLevel="0" max="11" min="11" style="0" width="10"/>
    <col collapsed="false" customWidth="true" hidden="false" outlineLevel="0" max="12" min="12" style="0" width="34"/>
  </cols>
  <sheetData>
    <row r="1" customFormat="false" ht="30" hidden="false" customHeight="true" outlineLevel="0" collapsed="false">
      <c r="A1" s="10" t="s">
        <v>16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customFormat="false" ht="18" hidden="false" customHeight="true" outlineLevel="0" collapsed="false">
      <c r="A2" s="2" t="s">
        <v>17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25.5" hidden="false" customHeight="true" outlineLevel="0" collapsed="false">
      <c r="A3" s="11" t="s">
        <v>18</v>
      </c>
      <c r="B3" s="11" t="s">
        <v>19</v>
      </c>
      <c r="C3" s="11" t="s">
        <v>20</v>
      </c>
      <c r="D3" s="11" t="s">
        <v>21</v>
      </c>
      <c r="E3" s="11" t="s">
        <v>2</v>
      </c>
      <c r="F3" s="11" t="s">
        <v>22</v>
      </c>
      <c r="G3" s="11" t="s">
        <v>23</v>
      </c>
      <c r="H3" s="11" t="s">
        <v>24</v>
      </c>
      <c r="I3" s="11" t="s">
        <v>25</v>
      </c>
      <c r="J3" s="11" t="s">
        <v>26</v>
      </c>
      <c r="K3" s="11" t="s">
        <v>27</v>
      </c>
      <c r="L3" s="11" t="s">
        <v>4</v>
      </c>
    </row>
    <row r="4" customFormat="false" ht="23.85" hidden="false" customHeight="false" outlineLevel="0" collapsed="false">
      <c r="A4" s="12" t="s">
        <v>28</v>
      </c>
      <c r="B4" s="12" t="s">
        <v>29</v>
      </c>
      <c r="C4" s="12" t="s">
        <v>30</v>
      </c>
      <c r="D4" s="12" t="s">
        <v>31</v>
      </c>
      <c r="E4" s="12" t="s">
        <v>32</v>
      </c>
      <c r="F4" s="12"/>
      <c r="G4" s="12" t="s">
        <v>33</v>
      </c>
      <c r="H4" s="12" t="s">
        <v>5</v>
      </c>
      <c r="I4" s="12" t="s">
        <v>34</v>
      </c>
      <c r="J4" s="12"/>
      <c r="K4" s="12" t="s">
        <v>35</v>
      </c>
      <c r="L4" s="12" t="s">
        <v>36</v>
      </c>
    </row>
    <row r="5" customFormat="false" ht="15" hidden="false" customHeight="false" outlineLevel="0" collapsed="false">
      <c r="A5" s="13" t="s">
        <v>37</v>
      </c>
      <c r="B5" s="13" t="s">
        <v>29</v>
      </c>
      <c r="C5" s="13" t="s">
        <v>38</v>
      </c>
      <c r="D5" s="13" t="s">
        <v>31</v>
      </c>
      <c r="E5" s="13" t="s">
        <v>32</v>
      </c>
      <c r="F5" s="13"/>
      <c r="G5" s="13" t="s">
        <v>33</v>
      </c>
      <c r="H5" s="13" t="s">
        <v>5</v>
      </c>
      <c r="I5" s="13" t="s">
        <v>39</v>
      </c>
      <c r="J5" s="13"/>
      <c r="K5" s="13" t="s">
        <v>35</v>
      </c>
      <c r="L5" s="13" t="s">
        <v>40</v>
      </c>
    </row>
    <row r="6" customFormat="false" ht="15" hidden="false" customHeight="false" outlineLevel="0" collapsed="false">
      <c r="A6" s="12" t="s">
        <v>41</v>
      </c>
      <c r="B6" s="12" t="s">
        <v>29</v>
      </c>
      <c r="C6" s="12" t="s">
        <v>42</v>
      </c>
      <c r="D6" s="12" t="s">
        <v>31</v>
      </c>
      <c r="E6" s="12" t="s">
        <v>32</v>
      </c>
      <c r="F6" s="12"/>
      <c r="G6" s="12" t="s">
        <v>43</v>
      </c>
      <c r="H6" s="12" t="s">
        <v>5</v>
      </c>
      <c r="I6" s="12" t="s">
        <v>44</v>
      </c>
      <c r="J6" s="12"/>
      <c r="K6" s="12" t="s">
        <v>45</v>
      </c>
      <c r="L6" s="12" t="s">
        <v>46</v>
      </c>
    </row>
    <row r="7" customFormat="false" ht="15" hidden="false" customHeight="false" outlineLevel="0" collapsed="false">
      <c r="A7" s="13" t="s">
        <v>47</v>
      </c>
      <c r="B7" s="13" t="s">
        <v>29</v>
      </c>
      <c r="C7" s="13" t="s">
        <v>48</v>
      </c>
      <c r="D7" s="13" t="s">
        <v>49</v>
      </c>
      <c r="E7" s="13" t="s">
        <v>50</v>
      </c>
      <c r="F7" s="13"/>
      <c r="G7" s="13" t="s">
        <v>43</v>
      </c>
      <c r="H7" s="13" t="s">
        <v>5</v>
      </c>
      <c r="I7" s="13" t="s">
        <v>51</v>
      </c>
      <c r="J7" s="13"/>
      <c r="K7" s="13" t="s">
        <v>45</v>
      </c>
      <c r="L7" s="13" t="s">
        <v>52</v>
      </c>
    </row>
    <row r="8" customFormat="false" ht="15" hidden="false" customHeight="false" outlineLevel="0" collapsed="false">
      <c r="A8" s="12" t="s">
        <v>53</v>
      </c>
      <c r="B8" s="12" t="s">
        <v>29</v>
      </c>
      <c r="C8" s="12" t="s">
        <v>48</v>
      </c>
      <c r="D8" s="12" t="s">
        <v>49</v>
      </c>
      <c r="E8" s="12" t="s">
        <v>50</v>
      </c>
      <c r="F8" s="12"/>
      <c r="G8" s="12" t="s">
        <v>43</v>
      </c>
      <c r="H8" s="12" t="s">
        <v>5</v>
      </c>
      <c r="I8" s="12" t="s">
        <v>54</v>
      </c>
      <c r="J8" s="12"/>
      <c r="K8" s="12" t="s">
        <v>45</v>
      </c>
      <c r="L8" s="12"/>
    </row>
    <row r="9" customFormat="false" ht="15" hidden="false" customHeight="false" outlineLevel="0" collapsed="false">
      <c r="A9" s="13" t="s">
        <v>55</v>
      </c>
      <c r="B9" s="13" t="s">
        <v>29</v>
      </c>
      <c r="C9" s="13" t="s">
        <v>56</v>
      </c>
      <c r="D9" s="13" t="s">
        <v>49</v>
      </c>
      <c r="E9" s="13" t="s">
        <v>50</v>
      </c>
      <c r="F9" s="13"/>
      <c r="G9" s="13" t="s">
        <v>43</v>
      </c>
      <c r="H9" s="13" t="s">
        <v>5</v>
      </c>
      <c r="I9" s="13" t="s">
        <v>54</v>
      </c>
      <c r="J9" s="13"/>
      <c r="K9" s="13" t="s">
        <v>57</v>
      </c>
      <c r="L9" s="13"/>
    </row>
    <row r="10" customFormat="false" ht="15" hidden="false" customHeight="false" outlineLevel="0" collapsed="false">
      <c r="A10" s="12" t="s">
        <v>58</v>
      </c>
      <c r="B10" s="12" t="s">
        <v>29</v>
      </c>
      <c r="C10" s="12" t="s">
        <v>59</v>
      </c>
      <c r="D10" s="12" t="s">
        <v>49</v>
      </c>
      <c r="E10" s="12" t="s">
        <v>32</v>
      </c>
      <c r="F10" s="12"/>
      <c r="G10" s="12" t="s">
        <v>43</v>
      </c>
      <c r="H10" s="12" t="s">
        <v>5</v>
      </c>
      <c r="I10" s="12" t="s">
        <v>54</v>
      </c>
      <c r="J10" s="12"/>
      <c r="K10" s="12" t="s">
        <v>57</v>
      </c>
      <c r="L10" s="12"/>
    </row>
    <row r="11" customFormat="false" ht="15" hidden="false" customHeight="false" outlineLevel="0" collapsed="false">
      <c r="A11" s="13" t="s">
        <v>60</v>
      </c>
      <c r="B11" s="13" t="s">
        <v>61</v>
      </c>
      <c r="C11" s="13" t="s">
        <v>62</v>
      </c>
      <c r="D11" s="13" t="s">
        <v>31</v>
      </c>
      <c r="E11" s="13" t="s">
        <v>32</v>
      </c>
      <c r="F11" s="13"/>
      <c r="G11" s="13" t="s">
        <v>33</v>
      </c>
      <c r="H11" s="13" t="s">
        <v>5</v>
      </c>
      <c r="I11" s="13" t="s">
        <v>63</v>
      </c>
      <c r="J11" s="13"/>
      <c r="K11" s="13" t="s">
        <v>45</v>
      </c>
      <c r="L11" s="13"/>
    </row>
    <row r="12" customFormat="false" ht="15" hidden="false" customHeight="false" outlineLevel="0" collapsed="false">
      <c r="A12" s="12" t="s">
        <v>64</v>
      </c>
      <c r="B12" s="12" t="s">
        <v>61</v>
      </c>
      <c r="C12" s="12" t="s">
        <v>65</v>
      </c>
      <c r="D12" s="12" t="s">
        <v>31</v>
      </c>
      <c r="E12" s="12" t="s">
        <v>32</v>
      </c>
      <c r="F12" s="12"/>
      <c r="G12" s="12" t="s">
        <v>33</v>
      </c>
      <c r="H12" s="12" t="s">
        <v>5</v>
      </c>
      <c r="I12" s="12" t="s">
        <v>66</v>
      </c>
      <c r="J12" s="12"/>
      <c r="K12" s="12" t="s">
        <v>45</v>
      </c>
      <c r="L12" s="12"/>
    </row>
    <row r="13" customFormat="false" ht="15" hidden="false" customHeight="false" outlineLevel="0" collapsed="false">
      <c r="A13" s="13" t="s">
        <v>67</v>
      </c>
      <c r="B13" s="13" t="s">
        <v>68</v>
      </c>
      <c r="C13" s="13" t="s">
        <v>69</v>
      </c>
      <c r="D13" s="13" t="s">
        <v>31</v>
      </c>
      <c r="E13" s="13" t="s">
        <v>32</v>
      </c>
      <c r="F13" s="13"/>
      <c r="G13" s="13" t="s">
        <v>70</v>
      </c>
      <c r="H13" s="13" t="s">
        <v>5</v>
      </c>
      <c r="I13" s="13" t="s">
        <v>71</v>
      </c>
      <c r="J13" s="13"/>
      <c r="K13" s="13" t="s">
        <v>35</v>
      </c>
      <c r="L13" s="13" t="s">
        <v>72</v>
      </c>
    </row>
    <row r="14" customFormat="false" ht="15" hidden="false" customHeight="false" outlineLevel="0" collapsed="false">
      <c r="A14" s="12" t="s">
        <v>73</v>
      </c>
      <c r="B14" s="12" t="s">
        <v>68</v>
      </c>
      <c r="C14" s="12" t="s">
        <v>74</v>
      </c>
      <c r="D14" s="12" t="s">
        <v>31</v>
      </c>
      <c r="E14" s="12" t="s">
        <v>50</v>
      </c>
      <c r="F14" s="12"/>
      <c r="G14" s="12" t="s">
        <v>70</v>
      </c>
      <c r="H14" s="12" t="s">
        <v>5</v>
      </c>
      <c r="I14" s="12" t="s">
        <v>75</v>
      </c>
      <c r="J14" s="12"/>
      <c r="K14" s="12" t="s">
        <v>35</v>
      </c>
      <c r="L14" s="12"/>
    </row>
    <row r="15" customFormat="false" ht="15" hidden="false" customHeight="false" outlineLevel="0" collapsed="false">
      <c r="A15" s="13" t="s">
        <v>76</v>
      </c>
      <c r="B15" s="13" t="s">
        <v>68</v>
      </c>
      <c r="C15" s="13" t="s">
        <v>77</v>
      </c>
      <c r="D15" s="13" t="s">
        <v>49</v>
      </c>
      <c r="E15" s="13" t="s">
        <v>50</v>
      </c>
      <c r="F15" s="13"/>
      <c r="G15" s="13" t="s">
        <v>43</v>
      </c>
      <c r="H15" s="13" t="s">
        <v>5</v>
      </c>
      <c r="I15" s="13" t="s">
        <v>78</v>
      </c>
      <c r="J15" s="13"/>
      <c r="K15" s="13" t="s">
        <v>45</v>
      </c>
      <c r="L15" s="13"/>
    </row>
    <row r="16" customFormat="false" ht="15" hidden="false" customHeight="false" outlineLevel="0" collapsed="false">
      <c r="A16" s="12" t="s">
        <v>79</v>
      </c>
      <c r="B16" s="12" t="s">
        <v>68</v>
      </c>
      <c r="C16" s="12" t="s">
        <v>80</v>
      </c>
      <c r="D16" s="12" t="s">
        <v>49</v>
      </c>
      <c r="E16" s="12" t="s">
        <v>50</v>
      </c>
      <c r="F16" s="12"/>
      <c r="G16" s="12" t="s">
        <v>43</v>
      </c>
      <c r="H16" s="12" t="s">
        <v>5</v>
      </c>
      <c r="I16" s="12" t="s">
        <v>54</v>
      </c>
      <c r="J16" s="12"/>
      <c r="K16" s="12" t="s">
        <v>45</v>
      </c>
      <c r="L16" s="12"/>
    </row>
    <row r="17" customFormat="false" ht="15" hidden="false" customHeight="false" outlineLevel="0" collapsed="false">
      <c r="A17" s="13" t="s">
        <v>81</v>
      </c>
      <c r="B17" s="13" t="s">
        <v>82</v>
      </c>
      <c r="C17" s="13" t="s">
        <v>83</v>
      </c>
      <c r="D17" s="13" t="s">
        <v>49</v>
      </c>
      <c r="E17" s="13" t="s">
        <v>32</v>
      </c>
      <c r="F17" s="13"/>
      <c r="G17" s="13" t="s">
        <v>33</v>
      </c>
      <c r="H17" s="13" t="s">
        <v>5</v>
      </c>
      <c r="I17" s="13" t="s">
        <v>84</v>
      </c>
      <c r="J17" s="13"/>
      <c r="K17" s="13" t="s">
        <v>45</v>
      </c>
      <c r="L17" s="13" t="s">
        <v>85</v>
      </c>
    </row>
    <row r="18" customFormat="false" ht="15" hidden="false" customHeight="false" outlineLevel="0" collapsed="false">
      <c r="A18" s="12" t="s">
        <v>86</v>
      </c>
      <c r="B18" s="12" t="s">
        <v>82</v>
      </c>
      <c r="C18" s="12" t="s">
        <v>87</v>
      </c>
      <c r="D18" s="12" t="s">
        <v>49</v>
      </c>
      <c r="E18" s="12" t="s">
        <v>32</v>
      </c>
      <c r="F18" s="12"/>
      <c r="G18" s="12" t="s">
        <v>43</v>
      </c>
      <c r="H18" s="12" t="s">
        <v>5</v>
      </c>
      <c r="I18" s="12" t="s">
        <v>66</v>
      </c>
      <c r="J18" s="12"/>
      <c r="K18" s="12" t="s">
        <v>57</v>
      </c>
      <c r="L18" s="12"/>
    </row>
    <row r="19" customFormat="false" ht="23.85" hidden="false" customHeight="false" outlineLevel="0" collapsed="false">
      <c r="A19" s="13" t="s">
        <v>88</v>
      </c>
      <c r="B19" s="13" t="s">
        <v>89</v>
      </c>
      <c r="C19" s="13" t="s">
        <v>90</v>
      </c>
      <c r="D19" s="13"/>
      <c r="E19" s="13"/>
      <c r="F19" s="13"/>
      <c r="G19" s="13"/>
      <c r="H19" s="13" t="s">
        <v>5</v>
      </c>
      <c r="I19" s="13" t="s">
        <v>91</v>
      </c>
      <c r="J19" s="13"/>
      <c r="K19" s="13"/>
      <c r="L19" s="13" t="s">
        <v>92</v>
      </c>
    </row>
    <row r="20" customFormat="false" ht="23.85" hidden="false" customHeight="false" outlineLevel="0" collapsed="false">
      <c r="A20" s="12" t="s">
        <v>93</v>
      </c>
      <c r="B20" s="12" t="s">
        <v>94</v>
      </c>
      <c r="C20" s="12" t="s">
        <v>95</v>
      </c>
      <c r="D20" s="12"/>
      <c r="E20" s="12"/>
      <c r="F20" s="12"/>
      <c r="G20" s="12"/>
      <c r="H20" s="12" t="s">
        <v>5</v>
      </c>
      <c r="I20" s="12" t="s">
        <v>96</v>
      </c>
      <c r="J20" s="12"/>
      <c r="K20" s="12"/>
      <c r="L20" s="12" t="s">
        <v>97</v>
      </c>
    </row>
    <row r="21" customFormat="false" ht="23.85" hidden="false" customHeight="false" outlineLevel="0" collapsed="false">
      <c r="A21" s="13" t="s">
        <v>98</v>
      </c>
      <c r="B21" s="13" t="s">
        <v>99</v>
      </c>
      <c r="C21" s="13" t="s">
        <v>100</v>
      </c>
      <c r="D21" s="13"/>
      <c r="E21" s="13"/>
      <c r="F21" s="13"/>
      <c r="G21" s="13"/>
      <c r="H21" s="13" t="s">
        <v>5</v>
      </c>
      <c r="I21" s="13" t="s">
        <v>101</v>
      </c>
      <c r="J21" s="13"/>
      <c r="K21" s="13"/>
      <c r="L21" s="13"/>
    </row>
    <row r="22" customFormat="false" ht="15" hidden="false" customHeight="false" outlineLevel="0" collapsed="false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</row>
    <row r="23" customFormat="false" ht="15" hidden="false" customHeight="false" outlineLevel="0" collapsed="false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</row>
    <row r="24" customFormat="false" ht="15" hidden="false" customHeight="false" outlineLevel="0" collapsed="false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</row>
    <row r="25" customFormat="false" ht="15" hidden="false" customHeight="false" outlineLevel="0" collapsed="false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</row>
    <row r="26" customFormat="false" ht="15" hidden="false" customHeight="false" outlineLevel="0" collapsed="false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</row>
    <row r="27" customFormat="false" ht="15" hidden="false" customHeight="false" outlineLevel="0" collapsed="false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</row>
    <row r="28" customFormat="false" ht="15" hidden="false" customHeight="false" outlineLevel="0" collapsed="false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</row>
    <row r="29" customFormat="false" ht="15" hidden="false" customHeight="false" outlineLevel="0" collapsed="false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</row>
    <row r="30" customFormat="false" ht="15" hidden="false" customHeight="false" outlineLevel="0" collapsed="false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</row>
    <row r="31" customFormat="false" ht="15" hidden="false" customHeight="false" outlineLevel="0" collapsed="false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</row>
    <row r="32" customFormat="false" ht="15" hidden="false" customHeight="false" outlineLevel="0" collapsed="false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customFormat="false" ht="15" hidden="false" customHeight="false" outlineLevel="0" collapsed="false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</row>
    <row r="34" customFormat="false" ht="15" hidden="false" customHeight="false" outlineLevel="0" collapsed="false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</row>
    <row r="35" customFormat="false" ht="15" hidden="false" customHeight="false" outlineLevel="0" collapsed="false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</row>
    <row r="36" customFormat="false" ht="15" hidden="false" customHeight="false" outlineLevel="0" collapsed="false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</row>
    <row r="37" customFormat="false" ht="15" hidden="false" customHeight="false" outlineLevel="0" collapsed="false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</row>
    <row r="38" customFormat="false" ht="15" hidden="false" customHeight="false" outlineLevel="0" collapsed="false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</row>
    <row r="39" customFormat="false" ht="15" hidden="false" customHeight="false" outlineLevel="0" collapsed="false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customFormat="false" ht="15" hidden="false" customHeight="false" outlineLevel="0" collapsed="false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</row>
    <row r="41" customFormat="false" ht="15" hidden="false" customHeight="false" outlineLevel="0" collapsed="false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customFormat="false" ht="15" hidden="false" customHeight="false" outlineLevel="0" collapsed="false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</row>
    <row r="43" customFormat="false" ht="15" hidden="false" customHeight="false" outlineLevel="0" collapsed="false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</row>
    <row r="44" customFormat="false" ht="15" hidden="false" customHeight="false" outlineLevel="0" collapsed="false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</row>
    <row r="45" customFormat="false" ht="15" hidden="false" customHeight="false" outlineLevel="0" collapsed="false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</row>
    <row r="46" customFormat="false" ht="15" hidden="false" customHeight="false" outlineLevel="0" collapsed="false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</row>
  </sheetData>
  <autoFilter ref="A3:L46"/>
  <mergeCells count="2">
    <mergeCell ref="A1:L1"/>
    <mergeCell ref="A2:L2"/>
  </mergeCells>
  <conditionalFormatting sqref="H4:H46">
    <cfRule type="cellIs" priority="2" operator="equal" aboveAverage="0" equalAverage="0" bottom="0" percent="0" rank="0" text="" dxfId="6">
      <formula>"Won"</formula>
    </cfRule>
    <cfRule type="cellIs" priority="3" operator="equal" aboveAverage="0" equalAverage="0" bottom="0" percent="0" rank="0" text="" dxfId="6">
      <formula>"In program"</formula>
    </cfRule>
    <cfRule type="cellIs" priority="4" operator="equal" aboveAverage="0" equalAverage="0" bottom="0" percent="0" rank="0" text="" dxfId="7">
      <formula>"Call booked"</formula>
    </cfRule>
    <cfRule type="cellIs" priority="5" operator="equal" aboveAverage="0" equalAverage="0" bottom="0" percent="0" rank="0" text="" dxfId="7">
      <formula>"Replied"</formula>
    </cfRule>
    <cfRule type="cellIs" priority="6" operator="equal" aboveAverage="0" equalAverage="0" bottom="0" percent="0" rank="0" text="" dxfId="8">
      <formula>"Contacted"</formula>
    </cfRule>
    <cfRule type="cellIs" priority="7" operator="equal" aboveAverage="0" equalAverage="0" bottom="0" percent="0" rank="0" text="" dxfId="9">
      <formula>"Passed"</formula>
    </cfRule>
  </conditionalFormatting>
  <dataValidations count="6">
    <dataValidation allowBlank="true" errorStyle="stop" operator="between" showDropDown="false" showErrorMessage="false" showInputMessage="false" sqref="B4:B46" type="list">
      <formula1>Lists!$A$2:$A$9</formula1>
      <formula2>0</formula2>
    </dataValidation>
    <dataValidation allowBlank="true" errorStyle="stop" operator="between" showDropDown="false" showErrorMessage="false" showInputMessage="false" sqref="D4:D46" type="list">
      <formula1>Lists!$B$2:$B$5</formula1>
      <formula2>0</formula2>
    </dataValidation>
    <dataValidation allowBlank="true" errorStyle="stop" operator="between" showDropDown="false" showErrorMessage="false" showInputMessage="false" sqref="E4:E46" type="list">
      <formula1>Lists!$C$2:$C$6</formula1>
      <formula2>0</formula2>
    </dataValidation>
    <dataValidation allowBlank="true" errorStyle="stop" operator="between" showDropDown="false" showErrorMessage="false" showInputMessage="false" sqref="G4:G46" type="list">
      <formula1>Lists!$D$2:$D$7</formula1>
      <formula2>0</formula2>
    </dataValidation>
    <dataValidation allowBlank="true" errorStyle="stop" operator="between" showDropDown="false" showErrorMessage="false" showInputMessage="false" sqref="H4:H46" type="list">
      <formula1>Lists!$E$2:$E$8</formula1>
      <formula2>0</formula2>
    </dataValidation>
    <dataValidation allowBlank="true" errorStyle="stop" operator="between" showDropDown="false" showErrorMessage="false" showInputMessage="false" sqref="K4:K46" type="list">
      <formula1>Lists!$F$2:$F$4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0" width="24"/>
  </cols>
  <sheetData>
    <row r="1" customFormat="false" ht="15" hidden="false" customHeight="false" outlineLevel="0" collapsed="false">
      <c r="A1" s="15" t="s">
        <v>19</v>
      </c>
      <c r="B1" s="15" t="s">
        <v>21</v>
      </c>
      <c r="C1" s="15" t="s">
        <v>2</v>
      </c>
      <c r="D1" s="15" t="s">
        <v>23</v>
      </c>
      <c r="E1" s="15" t="s">
        <v>24</v>
      </c>
      <c r="F1" s="15" t="s">
        <v>27</v>
      </c>
    </row>
    <row r="2" customFormat="false" ht="15" hidden="false" customHeight="false" outlineLevel="0" collapsed="false">
      <c r="A2" s="16" t="s">
        <v>29</v>
      </c>
      <c r="B2" s="16" t="s">
        <v>31</v>
      </c>
      <c r="C2" s="16" t="s">
        <v>32</v>
      </c>
      <c r="D2" s="16" t="s">
        <v>70</v>
      </c>
      <c r="E2" s="16" t="s">
        <v>5</v>
      </c>
      <c r="F2" s="16" t="s">
        <v>35</v>
      </c>
    </row>
    <row r="3" customFormat="false" ht="15" hidden="false" customHeight="false" outlineLevel="0" collapsed="false">
      <c r="A3" s="16" t="s">
        <v>61</v>
      </c>
      <c r="B3" s="16" t="s">
        <v>49</v>
      </c>
      <c r="C3" s="16" t="s">
        <v>50</v>
      </c>
      <c r="D3" s="16" t="s">
        <v>33</v>
      </c>
      <c r="E3" s="16" t="s">
        <v>6</v>
      </c>
      <c r="F3" s="16" t="s">
        <v>45</v>
      </c>
    </row>
    <row r="4" customFormat="false" ht="15" hidden="false" customHeight="false" outlineLevel="0" collapsed="false">
      <c r="A4" s="16" t="s">
        <v>68</v>
      </c>
      <c r="B4" s="16" t="s">
        <v>102</v>
      </c>
      <c r="C4" s="16" t="s">
        <v>103</v>
      </c>
      <c r="D4" s="16" t="s">
        <v>43</v>
      </c>
      <c r="E4" s="16" t="s">
        <v>7</v>
      </c>
      <c r="F4" s="16" t="s">
        <v>57</v>
      </c>
    </row>
    <row r="5" customFormat="false" ht="15" hidden="false" customHeight="false" outlineLevel="0" collapsed="false">
      <c r="A5" s="16" t="s">
        <v>82</v>
      </c>
      <c r="B5" s="16" t="s">
        <v>104</v>
      </c>
      <c r="C5" s="16" t="s">
        <v>105</v>
      </c>
      <c r="D5" s="16" t="s">
        <v>106</v>
      </c>
      <c r="E5" s="16" t="s">
        <v>8</v>
      </c>
    </row>
    <row r="6" customFormat="false" ht="15" hidden="false" customHeight="false" outlineLevel="0" collapsed="false">
      <c r="A6" s="16" t="s">
        <v>89</v>
      </c>
      <c r="C6" s="16" t="s">
        <v>104</v>
      </c>
      <c r="D6" s="16" t="s">
        <v>107</v>
      </c>
      <c r="E6" s="16" t="s">
        <v>10</v>
      </c>
    </row>
    <row r="7" customFormat="false" ht="15" hidden="false" customHeight="false" outlineLevel="0" collapsed="false">
      <c r="A7" s="16" t="s">
        <v>94</v>
      </c>
      <c r="D7" s="16" t="s">
        <v>108</v>
      </c>
      <c r="E7" s="16" t="s">
        <v>12</v>
      </c>
    </row>
    <row r="8" customFormat="false" ht="15" hidden="false" customHeight="false" outlineLevel="0" collapsed="false">
      <c r="A8" s="16" t="s">
        <v>99</v>
      </c>
      <c r="E8" s="16" t="s">
        <v>14</v>
      </c>
    </row>
    <row r="9" customFormat="false" ht="15" hidden="false" customHeight="false" outlineLevel="0" collapsed="false">
      <c r="A9" s="16" t="s">
        <v>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2026-06-15T21:36:08Z</dcterms:created>
  <dc:creator>openpyxl</dc:creator>
  <dc:description/>
  <dc:language>en-US</dc:language>
  <cp:lastModifiedBy/>
  <dcterms:modified xsi:type="dcterms:W3CDTF">2026-06-15T21:36:08Z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